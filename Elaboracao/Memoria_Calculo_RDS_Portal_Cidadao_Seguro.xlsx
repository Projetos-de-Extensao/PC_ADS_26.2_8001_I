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715c3d0d247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missas" sheetId="1" r:id="Rb6c0e9b912124c0c"/>
    <x:sheet xmlns:r="http://schemas.openxmlformats.org/officeDocument/2006/relationships" name="Workload" sheetId="2" r:id="R16bf5a71801641ee"/>
    <x:sheet xmlns:r="http://schemas.openxmlformats.org/officeDocument/2006/relationships" name="Storage" sheetId="3" r:id="Rc17afff05c994c03"/>
    <x:sheet xmlns:r="http://schemas.openxmlformats.org/officeDocument/2006/relationships" name="RDS_Dimensionamento" sheetId="4" r:id="R2d3f3c0ccc76438f"/>
    <x:sheet xmlns:r="http://schemas.openxmlformats.org/officeDocument/2006/relationships" name="Fontes" sheetId="5" r:id="Rfa890fffdc0341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0.0%"/>
    <x:numFmt numFmtId="202" formatCode="0"/>
    <x:numFmt numFmtId="203" formatCode="0.0x"/>
    <x:numFmt numFmtId="204" formatCode="#,##0.0"/>
    <x:numFmt numFmtId="205" formatCode="0.00"/>
    <x:numFmt numFmtId="206" formatCode="0.0"/>
    <x:numFmt numFmtId="207" formatCode="#,##0.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i/>
      <x:sz val="11"/>
      <x:color rgb="FF595959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1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202" fontId="3" fillId="4" borderId="0" xfId="0" applyNumberFormat="1" applyFont="1" applyFill="1" applyBorder="1"/>
    <x:xf numFmtId="202" fontId="3" fillId="4" borderId="1" xfId="0" applyNumberFormat="1" applyFont="1" applyFill="1" applyBorder="1"/>
    <x:xf numFmtId="203" fontId="3" fillId="4" borderId="0" xfId="0" applyNumberFormat="1" applyFont="1" applyFill="1" applyBorder="1"/>
    <x:xf numFmtId="203" fontId="3" fillId="4" borderId="1" xfId="0" applyNumberFormat="1" applyFont="1" applyFill="1" applyBorder="1"/>
    <x:xf numFmtId="204" fontId="3" fillId="4" borderId="0" xfId="0" applyNumberFormat="1" applyFont="1" applyFill="1" applyBorder="1"/>
    <x:xf numFmtId="204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wrapText="1"/>
    </x:xf>
    <x:xf numFmtId="202" fontId="3" fillId="4" borderId="0" xfId="0" applyNumberFormat="1" applyFont="1" applyFill="1" applyBorder="1" applyAlignment="1">
      <x:alignment wrapText="1"/>
    </x:xf>
    <x:xf numFmtId="203" fontId="3" fillId="4" borderId="0" xfId="0" applyNumberFormat="1" applyFont="1" applyFill="1" applyBorder="1" applyAlignment="1">
      <x:alignment wrapText="1"/>
    </x:xf>
    <x:xf numFmtId="204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wrapText="1"/>
    </x:xf>
    <x:xf numFmtId="201" fontId="3" fillId="4" borderId="1" xfId="0" applyNumberFormat="1" applyFont="1" applyFill="1" applyBorder="1" applyAlignment="1">
      <x:alignment wrapText="1"/>
    </x:xf>
    <x:xf numFmtId="202" fontId="3" fillId="4" borderId="1" xfId="0" applyNumberFormat="1" applyFont="1" applyFill="1" applyBorder="1" applyAlignment="1">
      <x:alignment wrapText="1"/>
    </x:xf>
    <x:xf numFmtId="203" fontId="3" fillId="4" borderId="1" xfId="0" applyNumberFormat="1" applyFont="1" applyFill="1" applyBorder="1" applyAlignment="1">
      <x:alignment wrapText="1"/>
    </x:xf>
    <x:xf numFmtId="204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  <x:xf numFmtId="201" fontId="3" fillId="4" borderId="0" xfId="0" applyNumberFormat="1" applyFont="1" applyFill="1" applyBorder="1" applyAlignment="1">
      <x:alignment vertical="center" wrapText="1"/>
    </x:xf>
    <x:xf numFmtId="202" fontId="3" fillId="4" borderId="0" xfId="0" applyNumberFormat="1" applyFont="1" applyFill="1" applyBorder="1" applyAlignment="1">
      <x:alignment vertical="center" wrapText="1"/>
    </x:xf>
    <x:xf numFmtId="203" fontId="3" fillId="4" borderId="0" xfId="0" applyNumberFormat="1" applyFont="1" applyFill="1" applyBorder="1" applyAlignment="1">
      <x:alignment vertical="center" wrapText="1"/>
    </x:xf>
    <x:xf numFmtId="204" fontId="3" fillId="4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3" fillId="4" borderId="1" xfId="0" applyNumberFormat="1" applyFont="1" applyFill="1" applyBorder="1" applyAlignment="1">
      <x:alignment vertical="center" wrapText="1"/>
    </x:xf>
    <x:xf numFmtId="201" fontId="3" fillId="4" borderId="1" xfId="0" applyNumberFormat="1" applyFont="1" applyFill="1" applyBorder="1" applyAlignment="1">
      <x:alignment vertical="center" wrapText="1"/>
    </x:xf>
    <x:xf numFmtId="202" fontId="3" fillId="4" borderId="1" xfId="0" applyNumberFormat="1" applyFont="1" applyFill="1" applyBorder="1" applyAlignment="1">
      <x:alignment vertical="center" wrapText="1"/>
    </x:xf>
    <x:xf numFmtId="203" fontId="3" fillId="4" borderId="1" xfId="0" applyNumberFormat="1" applyFont="1" applyFill="1" applyBorder="1" applyAlignment="1">
      <x:alignment vertical="center" wrapText="1"/>
    </x:xf>
    <x:xf numFmtId="204" fontId="3" fillId="4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5" fontId="5" fillId="0" borderId="0" xfId="0" applyNumberFormat="1" applyFont="1" applyFill="1" applyBorder="1"/>
    <x:xf numFmtId="205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5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5" fontId="5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5" fontId="5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205" fontId="2" fillId="6" borderId="0" xfId="0" applyNumberFormat="1" applyFont="1" applyFill="1" applyBorder="1" applyAlignment="1">
      <x:alignment wrapText="1"/>
    </x:xf>
    <x:xf numFmtId="0" fontId="2" fillId="6" borderId="2" xfId="0" applyNumberFormat="1" applyFont="1" applyFill="1" applyBorder="1" applyAlignment="1">
      <x:alignment wrapText="1"/>
    </x:xf>
    <x:xf numFmtId="205" fontId="2" fillId="6" borderId="2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5" fontId="5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205" fontId="2" fillId="6" borderId="1" xfId="0" applyNumberFormat="1" applyFont="1" applyFill="1" applyBorder="1" applyAlignment="1">
      <x:alignment wrapText="1"/>
    </x:xf>
    <x:xf numFmtId="0" fontId="2" fillId="6" borderId="3" xfId="0" applyNumberFormat="1" applyFont="1" applyFill="1" applyBorder="1" applyAlignment="1">
      <x:alignment wrapText="1"/>
    </x:xf>
    <x:xf numFmtId="205" fontId="2" fillId="6" borderId="3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205" fontId="5" fillId="0" borderId="0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205" fontId="2" fillId="6" borderId="2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205" fontId="2" fillId="6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5" fontId="5" fillId="0" borderId="1" xfId="0" applyNumberFormat="1" applyFont="1" applyFill="1" applyBorder="1" applyAlignment="1">
      <x:alignment vertical="center" wrapText="1"/>
    </x:xf>
    <x:xf numFmtId="0" fontId="2" fillId="6" borderId="3" xfId="0" applyNumberFormat="1" applyFont="1" applyFill="1" applyBorder="1" applyAlignment="1">
      <x:alignment vertical="center" wrapText="1"/>
    </x:xf>
    <x:xf numFmtId="205" fontId="2" fillId="6" borderId="3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205" fontId="2" fillId="6" borderId="1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left"/>
    </x:xf>
    <x:xf numFmtId="0" fontId="6" fillId="7" borderId="0" xfId="0" applyNumberFormat="1" applyFont="1" applyFill="1" applyBorder="1" applyAlignment="1">
      <x:alignment horizontal="left" vertical="center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horizontal="left"/>
    </x:xf>
    <x:xf numFmtId="0" fontId="6" fillId="7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2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3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5" fontId="2" fillId="6" borderId="2" xfId="0" applyNumberFormat="1" applyFont="1" applyFill="1" applyBorder="1"/>
    <x:xf numFmtId="205" fontId="2" fillId="6" borderId="3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left" vertical="center" wrapText="1"/>
    </x:xf>
    <x:xf numFmtId="200" fontId="0" fillId="0" borderId="1" xfId="0" applyNumberFormat="1" applyFont="1" applyFill="1" applyBorder="1" applyAlignment="1">
      <x:alignment wrapText="1"/>
    </x:xf>
    <x:xf numFmtId="206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horizontal="left" vertical="center" wrapText="1"/>
    </x:xf>
    <x:xf numFmtId="207" fontId="5" fillId="0" borderId="0" xfId="0" applyNumberFormat="1" applyFont="1" applyFill="1" applyBorder="1"/>
    <x:xf numFmtId="207" fontId="5" fillId="0" borderId="1" xfId="0" applyNumberFormat="1" applyFont="1" applyFill="1" applyBorder="1"/>
    <x:xf numFmtId="207" fontId="5" fillId="6" borderId="0" xfId="0" applyNumberFormat="1" applyFont="1" applyFill="1" applyBorder="1"/>
    <x:xf numFmtId="207" fontId="2" fillId="6" borderId="0" xfId="0" applyNumberFormat="1" applyFont="1" applyFill="1" applyBorder="1"/>
    <x:xf numFmtId="207" fontId="2" fillId="6" borderId="2" xfId="0" applyNumberFormat="1" applyFont="1" applyFill="1" applyBorder="1"/>
    <x:xf numFmtId="207" fontId="5" fillId="6" borderId="1" xfId="0" applyNumberFormat="1" applyFont="1" applyFill="1" applyBorder="1"/>
    <x:xf numFmtId="207" fontId="2" fillId="6" borderId="1" xfId="0" applyNumberFormat="1" applyFont="1" applyFill="1" applyBorder="1"/>
    <x:xf numFmtId="207" fontId="2" fillId="6" borderId="3" xfId="0" applyNumberFormat="1" applyFont="1" applyFill="1" applyBorder="1"/>
    <x:xf numFmtId="207" fontId="5" fillId="0" borderId="0" xfId="0" applyNumberFormat="1" applyFont="1" applyFill="1" applyBorder="1" applyAlignment="1">
      <x:alignment wrapText="1"/>
    </x:xf>
    <x:xf numFmtId="207" fontId="2" fillId="6" borderId="2" xfId="0" applyNumberFormat="1" applyFont="1" applyFill="1" applyBorder="1" applyAlignment="1">
      <x:alignment wrapText="1"/>
    </x:xf>
    <x:xf numFmtId="207" fontId="2" fillId="6" borderId="0" xfId="0" applyNumberFormat="1" applyFont="1" applyFill="1" applyBorder="1" applyAlignment="1">
      <x:alignment wrapText="1"/>
    </x:xf>
    <x:xf numFmtId="207" fontId="5" fillId="0" borderId="1" xfId="0" applyNumberFormat="1" applyFont="1" applyFill="1" applyBorder="1" applyAlignment="1">
      <x:alignment wrapText="1"/>
    </x:xf>
    <x:xf numFmtId="207" fontId="2" fillId="6" borderId="3" xfId="0" applyNumberFormat="1" applyFont="1" applyFill="1" applyBorder="1" applyAlignment="1">
      <x:alignment wrapText="1"/>
    </x:xf>
    <x:xf numFmtId="207" fontId="2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5cd3fed88b4def" /><Relationship Type="http://schemas.openxmlformats.org/officeDocument/2006/relationships/theme" Target="/xl/theme/theme1.xml" Id="R91fa002556314118" /><Relationship Type="http://schemas.openxmlformats.org/officeDocument/2006/relationships/sharedStrings" Target="/xl/sharedStrings.xml" Id="R64de1a30972e406e" /><Relationship Type="http://schemas.openxmlformats.org/officeDocument/2006/relationships/worksheet" Target="/xl/worksheets/sheet1.xml" Id="Rb6c0e9b912124c0c" /><Relationship Type="http://schemas.openxmlformats.org/officeDocument/2006/relationships/worksheet" Target="/xl/worksheets/sheet2.xml" Id="R16bf5a71801641ee" /><Relationship Type="http://schemas.openxmlformats.org/officeDocument/2006/relationships/worksheet" Target="/xl/worksheets/sheet3.xml" Id="Rc17afff05c994c03" /><Relationship Type="http://schemas.openxmlformats.org/officeDocument/2006/relationships/worksheet" Target="/xl/worksheets/sheet4.xml" Id="R2d3f3c0ccc76438f" /><Relationship Type="http://schemas.openxmlformats.org/officeDocument/2006/relationships/worksheet" Target="/xl/worksheets/sheet5.xml" Id="Rfa890fffdc0341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20" hidden="0" customWidth="1"/>
    <x:col min="4" max="4" width="23" hidden="0" customWidth="1"/>
    <x:col min="5" max="5" width="40" hidden="0" customWidth="1"/>
    <x:col min="6" max="6" width="58" hidden="0" customWidth="1"/>
  </x:cols>
  <x:sheetData>
    <x:row r="1" ht="28" customHeight="1">
      <x:c r="A1" s="5" t="str">
        <x:v>Portal Cidadão Seguro — Premissas de Dimensionamento</x:v>
      </x:c>
      <x:c r="B1" s="5"/>
      <x:c r="C1" s="5"/>
      <x:c r="D1" s="5"/>
      <x:c r="E1" s="5"/>
      <x:c r="F1" s="5"/>
    </x:row>
    <x:row r="2">
      <x:c r="A2" s="52"/>
      <x:c r="B2" s="52"/>
      <x:c r="C2" s="52"/>
      <x:c r="D2" s="52"/>
      <x:c r="E2" s="52"/>
      <x:c r="F2" s="52"/>
    </x:row>
    <x:row r="3">
      <x:c r="A3" s="14" t="str">
        <x:v>Premissa</x:v>
      </x:c>
      <x:c r="B3" s="14" t="str">
        <x:v>Valor</x:v>
      </x:c>
      <x:c r="C3" s="14" t="str">
        <x:v>Unidade</x:v>
      </x:c>
      <x:c r="D3" s="14" t="str">
        <x:v>Tipo</x:v>
      </x:c>
      <x:c r="E3" s="14" t="str">
        <x:v>Fonte / Base</x:v>
      </x:c>
      <x:c r="F3" s="14" t="str">
        <x:v>Observação</x:v>
      </x:c>
    </x:row>
    <x:row r="4">
      <x:c r="A4" s="53" t="str">
        <x:v>Usuários de projeto</x:v>
      </x:c>
      <x:c r="B4" s="54" t="n">
        <x:v>1000000</x:v>
      </x:c>
      <x:c r="C4" s="53" t="str">
        <x:v>usuários</x:v>
      </x:c>
      <x:c r="D4" s="53" t="str">
        <x:v>Dado de referência</x:v>
      </x:c>
      <x:c r="E4" s="53" t="str">
        <x:v>Prefeitura do Rio — Carioca Digital (2020)</x:v>
      </x:c>
      <x:c r="F4" s="53" t="str">
        <x:v>Usado como capacidade de projeto; não implica que 1 milhão estejam ativos simultaneamente.</x:v>
      </x:c>
    </x:row>
    <x:row r="5">
      <x:c r="A5" s="53" t="str">
        <x:v>Acessos ao Portal</x:v>
      </x:c>
      <x:c r="B5" s="54" t="n">
        <x:v>52000</x:v>
      </x:c>
      <x:c r="C5" s="53" t="str">
        <x:v>acessos/dia</x:v>
      </x:c>
      <x:c r="D5" s="53" t="str">
        <x:v>Premissa derivada</x:v>
      </x:c>
      <x:c r="E5" s="53" t="str">
        <x:v>IplanRio 2024 + cálculo do grupo</x:v>
      </x:c>
      <x:c r="F5" s="53" t="str">
        <x:v>52.000/dia = 19 milhões de sessões/ano ÷ 365. O documento de 2024 também informa ~70 mil sessões/dia; este trabalho adota 52 mil como cenário do grupo.</x:v>
      </x:c>
    </x:row>
    <x:row r="6">
      <x:c r="A6" s="53" t="str">
        <x:v>Percentual de acessos à Zeladoria</x:v>
      </x:c>
      <x:c r="B6" s="55" t="n">
        <x:v>0.2</x:v>
      </x:c>
      <x:c r="C6" s="53" t="str">
        <x:v>%</x:v>
      </x:c>
      <x:c r="D6" s="53" t="str">
        <x:v>Premissa de projeto</x:v>
      </x:c>
      <x:c r="E6" s="53" t="str">
        <x:v>Definição do grupo</x:v>
      </x:c>
      <x:c r="F6" s="53" t="str">
        <x:v>20% dos acessos diários do Portal utilizam a Zeladoria Urbana.</x:v>
      </x:c>
    </x:row>
    <x:row r="7">
      <x:c r="A7" s="53" t="str">
        <x:v>Percentual de acessos à Zeladoria que geram solicitação</x:v>
      </x:c>
      <x:c r="B7" s="55" t="n">
        <x:v>0.05</x:v>
      </x:c>
      <x:c r="C7" s="53" t="str">
        <x:v>%</x:v>
      </x:c>
      <x:c r="D7" s="53" t="str">
        <x:v>Premissa de projeto</x:v>
      </x:c>
      <x:c r="E7" s="53" t="str">
        <x:v>Definição do grupo</x:v>
      </x:c>
      <x:c r="F7" s="53" t="str">
        <x:v>5% dos acessos à Zeladoria resultam em nova solicitação.</x:v>
      </x:c>
    </x:row>
    <x:row r="8">
      <x:c r="A8" s="53" t="str">
        <x:v>Consultas comuns por acesso ao Portal</x:v>
      </x:c>
      <x:c r="B8" s="56" t="n">
        <x:v>1</x:v>
      </x:c>
      <x:c r="C8" s="53" t="str">
        <x:v>consultas/acesso</x:v>
      </x:c>
      <x:c r="D8" s="53" t="str">
        <x:v>Premissa de projeto</x:v>
      </x:c>
      <x:c r="E8" s="53" t="str">
        <x:v>Definição do grupo</x:v>
      </x:c>
      <x:c r="F8" s="53" t="str">
        <x:v>Consulta do catálogo de serviços durante o carregamento da interface, caso não esteja em cache.</x:v>
      </x:c>
    </x:row>
    <x:row r="9">
      <x:c r="A9" s="53" t="str">
        <x:v>Consultas adicionais por acesso à Zeladoria</x:v>
      </x:c>
      <x:c r="B9" s="56" t="n">
        <x:v>3</x:v>
      </x:c>
      <x:c r="C9" s="53" t="str">
        <x:v>consultas/acesso</x:v>
      </x:c>
      <x:c r="D9" s="53" t="str">
        <x:v>Premissa de projeto</x:v>
      </x:c>
      <x:c r="E9" s="53" t="str">
        <x:v>Definição do grupo</x:v>
      </x:c>
      <x:c r="F9" s="53" t="str">
        <x:v>Categorias + solicitações + metadados de anexos, em modelo simplificado.</x:v>
      </x:c>
    </x:row>
    <x:row r="10">
      <x:c r="A10" s="53" t="str">
        <x:v>Históricos médios por solicitação</x:v>
      </x:c>
      <x:c r="B10" s="57" t="n">
        <x:v>4</x:v>
      </x:c>
      <x:c r="C10" s="53" t="str">
        <x:v>registros/solicitação</x:v>
      </x:c>
      <x:c r="D10" s="53" t="str">
        <x:v>Premissa de projeto</x:v>
      </x:c>
      <x:c r="E10" s="53" t="str">
        <x:v>Definição do grupo</x:v>
      </x:c>
      <x:c r="F10" s="53" t="str">
        <x:v>Média ao longo do ciclo de vida da solicitação; não necessariamente no mesmo dia.</x:v>
      </x:c>
    </x:row>
    <x:row r="11">
      <x:c r="A11" s="53" t="str">
        <x:v>Fator de pico</x:v>
      </x:c>
      <x:c r="B11" s="58" t="n">
        <x:v>10</x:v>
      </x:c>
      <x:c r="C11" s="53" t="str">
        <x:v>x</x:v>
      </x:c>
      <x:c r="D11" s="53" t="str">
        <x:v>Premissa de projeto</x:v>
      </x:c>
      <x:c r="E11" s="53" t="str">
        <x:v>Definição do grupo</x:v>
      </x:c>
      <x:c r="F11" s="53" t="str">
        <x:v>Margem para representar picos, pois a carga diária é uma média.</x:v>
      </x:c>
    </x:row>
    <x:row r="12">
      <x:c r="A12" s="53" t="str">
        <x:v>Max connections do RDS</x:v>
      </x:c>
      <x:c r="B12" s="58" t="n">
        <x:v>100</x:v>
      </x:c>
      <x:c r="C12" s="53" t="str">
        <x:v>conexões</x:v>
      </x:c>
      <x:c r="D12" s="53" t="str">
        <x:v>Decisão técnica</x:v>
      </x:c>
      <x:c r="E12" s="53" t="str">
        <x:v>Definição do grupo</x:v>
      </x:c>
      <x:c r="F12" s="53" t="str">
        <x:v>Limite operacional global; o pool por instância será definido no dimensionamento da camada de computação.</x:v>
      </x:c>
    </x:row>
    <x:row r="13">
      <x:c r="A13" s="53" t="str">
        <x:v>Storage inicial</x:v>
      </x:c>
      <x:c r="B13" s="58" t="n">
        <x:v>50</x:v>
      </x:c>
      <x:c r="C13" s="53" t="str">
        <x:v>GiB</x:v>
      </x:c>
      <x:c r="D13" s="53" t="str">
        <x:v>Decisão técnica</x:v>
      </x:c>
      <x:c r="E13" s="53" t="str">
        <x:v>Definição do grupo</x:v>
      </x:c>
      <x:c r="F13" s="53" t="str">
        <x:v>Volume inicial com margem para dados, índices, overhead e expansão dos serviços.</x:v>
      </x:c>
    </x:row>
    <x:row r="14">
      <x:c r="A14" s="53" t="str">
        <x:v>Storage máximo</x:v>
      </x:c>
      <x:c r="B14" s="58" t="n">
        <x:v>200</x:v>
      </x:c>
      <x:c r="C14" s="53" t="str">
        <x:v>GiB</x:v>
      </x:c>
      <x:c r="D14" s="53" t="str">
        <x:v>Decisão técnica</x:v>
      </x:c>
      <x:c r="E14" s="53" t="str">
        <x:v>Definição do grupo</x:v>
      </x:c>
      <x:c r="F14" s="53" t="str">
        <x:v>Limite do Auto Scaling proposto.</x:v>
      </x:c>
    </x:row>
    <x:row r="15">
      <x:c r="A15" s="52"/>
      <x:c r="B15" s="52"/>
      <x:c r="C15" s="52"/>
      <x:c r="D15" s="52"/>
      <x:c r="E15" s="52"/>
      <x:c r="F15" s="52"/>
    </x:row>
    <x:row r="16">
      <x:c r="A16" s="59" t="str">
        <x:v>Nota: valores de 20%, 5%, 3 consultas, 4 históricos e fator de pico 10× são premissas do projeto. Eles devem ser tratados como hipóteses de dimensionamento, não como dados observados da Prefeitura.</x:v>
      </x:c>
      <x:c r="B16" s="59"/>
      <x:c r="C16" s="59"/>
      <x:c r="D16" s="59"/>
      <x:c r="E16" s="59"/>
      <x:c r="F16" s="59"/>
    </x:row>
    <x:row r="17">
      <x:c r="A17" s="59"/>
      <x:c r="B17" s="59"/>
      <x:c r="C17" s="59"/>
      <x:c r="D17" s="59"/>
      <x:c r="E17" s="59"/>
      <x:c r="F17" s="59"/>
    </x:row>
  </x:sheetData>
  <x:mergeCells>
    <x:mergeCell ref="A1:F1"/>
    <x:mergeCell ref="A16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8" hidden="0" customWidth="1"/>
    <x:col min="3" max="3" width="18" hidden="0" customWidth="1"/>
    <x:col min="4" max="4" width="20" hidden="0" customWidth="1"/>
    <x:col min="5" max="5" width="18" hidden="0" customWidth="1"/>
    <x:col min="6" max="6" width="55" hidden="0" customWidth="1"/>
  </x:cols>
  <x:sheetData>
    <x:row r="1" ht="28" customHeight="1">
      <x:c r="A1" s="5" t="str">
        <x:v>Memória de Cálculo — Workload do Portal e Zeladoria</x:v>
      </x:c>
      <x:c r="B1" s="5"/>
      <x:c r="C1" s="5"/>
      <x:c r="D1" s="5"/>
      <x:c r="E1" s="5"/>
      <x:c r="F1" s="5"/>
    </x:row>
    <x:row r="3">
      <x:c r="A3" s="14" t="str">
        <x:v>Cálculo</x:v>
      </x:c>
      <x:c r="B3" s="14" t="str">
        <x:v>Fórmula</x:v>
      </x:c>
      <x:c r="C3" s="14" t="str">
        <x:v>Resultado</x:v>
      </x:c>
      <x:c r="D3" s="14" t="str">
        <x:v>Unidade</x:v>
      </x:c>
      <x:c r="E3" s="14" t="str">
        <x:v>Base</x:v>
      </x:c>
      <x:c r="F3" s="14" t="str">
        <x:v>Observação</x:v>
      </x:c>
    </x:row>
    <x:row r="4">
      <x:c r="A4" s="53" t="str">
        <x:v>Segundos por dia</x:v>
      </x:c>
      <x:c r="B4" s="53" t="str">
        <x:v>24 × 60 × 60</x:v>
      </x:c>
      <x:c r="C4" s="92" t="n">
        <x:f>24*60*60</x:f>
        <x:v>86400</x:v>
      </x:c>
      <x:c r="D4" s="53" t="str">
        <x:v>s/dia</x:v>
      </x:c>
      <x:c r="E4" s="53" t="str">
        <x:v>Premissa fixa</x:v>
      </x:c>
      <x:c r="F4" s="53" t="str">
        <x:v>Usado para converter carga diária em carga por segundo.</x:v>
      </x:c>
    </x:row>
    <x:row r="5">
      <x:c r="A5" s="53" t="str">
        <x:v>Acessos médios do Portal</x:v>
      </x:c>
      <x:c r="B5" s="53" t="str">
        <x:v>Acessos/dia ÷ segundos/dia</x:v>
      </x:c>
      <x:c r="C5" s="93" t="n">
        <x:f>Premissas!B5/C4</x:f>
        <x:v>0.6018518518518519</x:v>
      </x:c>
      <x:c r="D5" s="53" t="str">
        <x:v>acessos/s</x:v>
      </x:c>
      <x:c r="E5" s="53" t="str">
        <x:v>Premissas</x:v>
      </x:c>
      <x:c r="F5" s="53" t="str">
        <x:v>Carga média.</x:v>
      </x:c>
    </x:row>
    <x:row r="6">
      <x:c r="A6" s="53" t="str">
        <x:v>Acessos diários da Zeladoria</x:v>
      </x:c>
      <x:c r="B6" s="53" t="str">
        <x:v>Acessos Portal × % Zeladoria</x:v>
      </x:c>
      <x:c r="C6" s="93" t="n">
        <x:f>Premissas!B5*Premissas!B6</x:f>
        <x:v>10400</x:v>
      </x:c>
      <x:c r="D6" s="53" t="str">
        <x:v>acessos/dia</x:v>
      </x:c>
      <x:c r="E6" s="53" t="str">
        <x:v>Premissas</x:v>
      </x:c>
      <x:c r="F6" s="53" t="str">
        <x:v>Carga do serviço analisado.</x:v>
      </x:c>
    </x:row>
    <x:row r="7">
      <x:c r="A7" s="53" t="str">
        <x:v>Consultas comuns do Portal</x:v>
      </x:c>
      <x:c r="B7" s="53" t="str">
        <x:v>Acessos Portal × consultas comuns</x:v>
      </x:c>
      <x:c r="C7" s="93" t="n">
        <x:f>Premissas!B5*Premissas!B8</x:f>
        <x:v>52000</x:v>
      </x:c>
      <x:c r="D7" s="53" t="str">
        <x:v>consultas/dia</x:v>
      </x:c>
      <x:c r="E7" s="53" t="str">
        <x:v>Premissas</x:v>
      </x:c>
      <x:c r="F7" s="53" t="str">
        <x:v>Catálogo de serviços.</x:v>
      </x:c>
    </x:row>
    <x:row r="8">
      <x:c r="A8" s="53" t="str">
        <x:v>Consultas adicionais da Zeladoria</x:v>
      </x:c>
      <x:c r="B8" s="53" t="str">
        <x:v>Acessos Zeladoria × consultas adicionais</x:v>
      </x:c>
      <x:c r="C8" s="93" t="n">
        <x:f>C6*Premissas!B9</x:f>
        <x:v>31200</x:v>
      </x:c>
      <x:c r="D8" s="53" t="str">
        <x:v>consultas/dia</x:v>
      </x:c>
      <x:c r="E8" s="53" t="str">
        <x:v>Premissas</x:v>
      </x:c>
      <x:c r="F8" s="53" t="str">
        <x:v>Categorias + solicitações + anexos.</x:v>
      </x:c>
    </x:row>
    <x:row r="9">
      <x:c r="A9" s="53" t="str">
        <x:v>Consultas totais de leitura</x:v>
      </x:c>
      <x:c r="B9" s="53" t="str">
        <x:v>Comuns + adicionais</x:v>
      </x:c>
      <x:c r="C9" s="93" t="n">
        <x:f>C7+C8</x:f>
        <x:v>83200</x:v>
      </x:c>
      <x:c r="D9" s="53" t="str">
        <x:v>consultas/dia</x:v>
      </x:c>
      <x:c r="E9" s="53" t="str">
        <x:v>Premissas</x:v>
      </x:c>
      <x:c r="F9" s="53" t="str">
        <x:v>Workload lógico estimado.</x:v>
      </x:c>
    </x:row>
    <x:row r="10">
      <x:c r="A10" s="94" t="str">
        <x:v>Leituras médias</x:v>
      </x:c>
      <x:c r="B10" s="94" t="str">
        <x:v>Consultas totais ÷ segundos/dia</x:v>
      </x:c>
      <x:c r="C10" s="95" t="n">
        <x:f>C9/C4</x:f>
        <x:v>0.9629629629629629</x:v>
      </x:c>
      <x:c r="D10" s="94" t="str">
        <x:v>consultas/s</x:v>
      </x:c>
      <x:c r="E10" s="94" t="str">
        <x:v>Premissas</x:v>
      </x:c>
      <x:c r="F10" s="94" t="str">
        <x:v>Carga média.</x:v>
      </x:c>
    </x:row>
    <x:row r="11">
      <x:c r="A11" s="96" t="str">
        <x:v>Leituras de pico</x:v>
      </x:c>
      <x:c r="B11" s="96" t="str">
        <x:v>Leituras médias × fator de pico</x:v>
      </x:c>
      <x:c r="C11" s="97" t="n">
        <x:f>C10*Premissas!B11</x:f>
        <x:v>9.62962962962963</x:v>
      </x:c>
      <x:c r="D11" s="96" t="str">
        <x:v>TPS</x:v>
      </x:c>
      <x:c r="E11" s="96" t="str">
        <x:v>Premissas</x:v>
      </x:c>
      <x:c r="F11" s="96" t="str">
        <x:v>TPS de projeto.</x:v>
      </x:c>
    </x:row>
    <x:row r="12">
      <x:c r="A12" s="53" t="str">
        <x:v>Solicitações novas/dia</x:v>
      </x:c>
      <x:c r="B12" s="53" t="str">
        <x:v>Acessos Zeladoria × % escrita</x:v>
      </x:c>
      <x:c r="C12" s="93" t="n">
        <x:f>C6*Premissas!B7</x:f>
        <x:v>520</x:v>
      </x:c>
      <x:c r="D12" s="53" t="str">
        <x:v>solicitações/dia</x:v>
      </x:c>
      <x:c r="E12" s="53" t="str">
        <x:v>Premissas</x:v>
      </x:c>
      <x:c r="F12" s="53" t="str">
        <x:v>Carga de escrita.</x:v>
      </x:c>
    </x:row>
    <x:row r="13">
      <x:c r="A13" s="53" t="str">
        <x:v>Escritas médias</x:v>
      </x:c>
      <x:c r="B13" s="53" t="str">
        <x:v>Solicitações/dia ÷ segundos/dia</x:v>
      </x:c>
      <x:c r="C13" s="93" t="n">
        <x:f>C12/C4</x:f>
        <x:v>0.0060185185185185185</x:v>
      </x:c>
      <x:c r="D13" s="53" t="str">
        <x:v>escritas/s</x:v>
      </x:c>
      <x:c r="E13" s="53" t="str">
        <x:v>Premissas</x:v>
      </x:c>
      <x:c r="F13" s="53" t="str">
        <x:v>Carga média de escrita.</x:v>
      </x:c>
    </x:row>
    <x:row r="14">
      <x:c r="A14" s="53" t="str">
        <x:v>Escritas de pico</x:v>
      </x:c>
      <x:c r="B14" s="53" t="str">
        <x:v>Escritas médias × fator de pico</x:v>
      </x:c>
      <x:c r="C14" s="93" t="n">
        <x:f>C13*Premissas!B11</x:f>
        <x:v>0.06018518518518519</x:v>
      </x:c>
      <x:c r="D14" s="53" t="str">
        <x:v>escritas/s</x:v>
      </x:c>
      <x:c r="E14" s="53" t="str">
        <x:v>Premissas</x:v>
      </x:c>
      <x:c r="F14" s="53" t="str">
        <x:v>Carga de escrita de projeto.</x:v>
      </x:c>
    </x:row>
    <x:row r="15">
      <x:c r="A15" s="53" t="str">
        <x:v>Históricos/dia</x:v>
      </x:c>
      <x:c r="B15" s="53" t="str">
        <x:v>Solicitações/dia × históricos/solicitação</x:v>
      </x:c>
      <x:c r="C15" s="98" t="n">
        <x:f>C12*Premissas!B10</x:f>
        <x:v>2080</x:v>
      </x:c>
      <x:c r="D15" s="53" t="str">
        <x:v>registros/dia</x:v>
      </x:c>
      <x:c r="E15" s="53" t="str">
        <x:v>Premissas</x:v>
      </x:c>
      <x:c r="F15" s="53" t="str">
        <x:v>Média ao longo do ciclo de vida.</x:v>
      </x:c>
    </x:row>
    <x:row r="16">
      <x:c r="A16" s="53" t="str">
        <x:v>Solicitações/ano</x:v>
      </x:c>
      <x:c r="B16" s="53" t="str">
        <x:v>Solicitações/dia × 365</x:v>
      </x:c>
      <x:c r="C16" s="98" t="n">
        <x:f>C12*365</x:f>
        <x:v>189800</x:v>
      </x:c>
      <x:c r="D16" s="53" t="str">
        <x:v>solicitações/ano</x:v>
      </x:c>
      <x:c r="E16" s="53" t="str">
        <x:v>Premissas</x:v>
      </x:c>
      <x:c r="F16" s="53" t="str">
        <x:v>Crescimento anual.</x:v>
      </x:c>
    </x:row>
    <x:row r="17">
      <x:c r="A17" s="53" t="str">
        <x:v>Históricos/ano</x:v>
      </x:c>
      <x:c r="B17" s="53" t="str">
        <x:v>Históricos/dia × 365</x:v>
      </x:c>
      <x:c r="C17" s="98" t="n">
        <x:f>C15*365</x:f>
        <x:v>759200</x:v>
      </x:c>
      <x:c r="D17" s="53" t="str">
        <x:v>registros/ano</x:v>
      </x:c>
      <x:c r="E17" s="53" t="str">
        <x:v>Premissas</x:v>
      </x:c>
      <x:c r="F17" s="53" t="str">
        <x:v>Crescimento anual.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16" hidden="0" customWidth="1"/>
    <x:col min="4" max="4" width="16" hidden="0" customWidth="1"/>
    <x:col min="5" max="5" width="20" hidden="0" customWidth="1"/>
    <x:col min="6" max="6" width="14" hidden="0" customWidth="1"/>
    <x:col min="7" max="7" width="60" hidden="0" customWidth="1"/>
  </x:cols>
  <x:sheetData>
    <x:row r="1" ht="28" customHeight="1">
      <x:c r="A1" s="5" t="str">
        <x:v>Memória de Cálculo — Crescimento de Dados</x:v>
      </x:c>
      <x:c r="B1" s="5"/>
      <x:c r="C1" s="5"/>
      <x:c r="D1" s="5"/>
      <x:c r="E1" s="5"/>
      <x:c r="F1" s="5"/>
      <x:c r="G1" s="5"/>
    </x:row>
    <x:row r="3">
      <x:c r="A3" s="14" t="str">
        <x:v>Entidade</x:v>
      </x:c>
      <x:c r="B3" s="14" t="str">
        <x:v>Volume de referência</x:v>
      </x:c>
      <x:c r="C3" s="14" t="str">
        <x:v>Tamanho médio</x:v>
      </x:c>
      <x:c r="D3" s="14" t="str">
        <x:v>Unidade tamanho</x:v>
      </x:c>
      <x:c r="E3" s="14" t="str">
        <x:v>Storage estimado</x:v>
      </x:c>
      <x:c r="F3" s="14" t="str">
        <x:v>Unidade</x:v>
      </x:c>
      <x:c r="G3" s="14" t="str">
        <x:v>Observação</x:v>
      </x:c>
    </x:row>
    <x:row r="4">
      <x:c r="A4" s="40" t="str">
        <x:v>User</x:v>
      </x:c>
      <x:c r="B4" s="128" t="n">
        <x:v>1000000</x:v>
      </x:c>
      <x:c r="C4" s="129" t="n">
        <x:v>1</x:v>
      </x:c>
      <x:c r="D4" s="40" t="str">
        <x:v>KiB</x:v>
      </x:c>
      <x:c r="E4" s="130" t="n">
        <x:f>B4*C4/1024/1024</x:f>
        <x:v>0.95367431640625</x:v>
      </x:c>
      <x:c r="F4" s="40" t="str">
        <x:v>GiB</x:v>
      </x:c>
      <x:c r="G4" s="40" t="str">
        <x:v>Capacidade de projeto de usuários cadastrados.</x:v>
      </x:c>
    </x:row>
    <x:row r="5">
      <x:c r="A5" s="40" t="str">
        <x:v>Solicitacao</x:v>
      </x:c>
      <x:c r="B5" s="128" t="n">
        <x:f>Workload!C16</x:f>
        <x:v>189800</x:v>
      </x:c>
      <x:c r="C5" s="129" t="n">
        <x:v>2</x:v>
      </x:c>
      <x:c r="D5" s="40" t="str">
        <x:v>KiB</x:v>
      </x:c>
      <x:c r="E5" s="130" t="n">
        <x:f>B5*C5/1024/1024</x:f>
        <x:v>0.3620147705078125</x:v>
      </x:c>
      <x:c r="F5" s="40" t="str">
        <x:v>GiB/ano</x:v>
      </x:c>
      <x:c r="G5" s="40" t="str">
        <x:v>Quantidade anual calculada no Workload.</x:v>
      </x:c>
    </x:row>
    <x:row r="6">
      <x:c r="A6" s="40" t="str">
        <x:v>SolicitacaoHistorico</x:v>
      </x:c>
      <x:c r="B6" s="128" t="n">
        <x:f>Workload!C17</x:f>
        <x:v>759200</x:v>
      </x:c>
      <x:c r="C6" s="129" t="n">
        <x:v>1</x:v>
      </x:c>
      <x:c r="D6" s="40" t="str">
        <x:v>KiB</x:v>
      </x:c>
      <x:c r="E6" s="130" t="n">
        <x:f>B6*C6/1024/1024</x:f>
        <x:v>0.724029541015625</x:v>
      </x:c>
      <x:c r="F6" s="40" t="str">
        <x:v>GiB/ano</x:v>
      </x:c>
      <x:c r="G6" s="40" t="str">
        <x:v>Quantidade anual calculada no Workload.</x:v>
      </x:c>
    </x:row>
    <x:row r="7">
      <x:c r="A7" s="40" t="str">
        <x:v>Attachment (metadados)</x:v>
      </x:c>
      <x:c r="B7" s="128" t="n">
        <x:f>Workload!C16</x:f>
        <x:v>189800</x:v>
      </x:c>
      <x:c r="C7" s="129" t="n">
        <x:v>0.5</x:v>
      </x:c>
      <x:c r="D7" s="40" t="str">
        <x:v>KiB</x:v>
      </x:c>
      <x:c r="E7" s="130" t="n">
        <x:f>B7*C7/1024/1024</x:f>
        <x:v>0.09050369262695312</x:v>
      </x:c>
      <x:c r="F7" s="40" t="str">
        <x:v>GiB/ano</x:v>
      </x:c>
      <x:c r="G7" s="40" t="str">
        <x:v>Somente metadados; arquivo físico fica no S3.</x:v>
      </x:c>
    </x:row>
    <x:row r="8">
      <x:c r="A8" s="40"/>
      <x:c r="B8" s="40"/>
      <x:c r="C8" s="40"/>
      <x:c r="D8" s="40"/>
      <x:c r="E8" s="40"/>
      <x:c r="F8" s="40"/>
      <x:c r="G8" s="40"/>
    </x:row>
    <x:row r="9">
      <x:c r="A9" s="131" t="str">
        <x:v>Resumo</x:v>
      </x:c>
      <x:c r="B9" s="131" t="str">
        <x:v>Valor</x:v>
      </x:c>
      <x:c r="C9" s="131" t="str">
        <x:v>Unidade</x:v>
      </x:c>
      <x:c r="D9" s="131" t="str"/>
      <x:c r="E9" s="131" t="str"/>
      <x:c r="F9" s="131" t="str"/>
      <x:c r="G9" s="131" t="str"/>
    </x:row>
    <x:row r="10">
      <x:c r="A10" s="40" t="str">
        <x:v>Crescimento anual das tabelas operacionais</x:v>
      </x:c>
      <x:c r="B10" s="130" t="n">
        <x:f>SUM(E5:E7)</x:f>
        <x:v>1.1765480041503906</x:v>
      </x:c>
      <x:c r="C10" s="40" t="str">
        <x:v>GiB/ano</x:v>
      </x:c>
      <x:c r="D10" s="40" t="str"/>
      <x:c r="E10" s="40" t="str"/>
      <x:c r="F10" s="40" t="str"/>
      <x:c r="G10" s="40" t="str">
        <x:v>Solicitações + histórico + metadados de anexos.</x:v>
      </x:c>
    </x:row>
    <x:row r="11">
      <x:c r="A11" s="40" t="str">
        <x:v>Usuários de capacidade</x:v>
      </x:c>
      <x:c r="B11" s="130" t="n">
        <x:f>E4</x:f>
        <x:v>0.95367431640625</x:v>
      </x:c>
      <x:c r="C11" s="40" t="str">
        <x:v>GiB</x:v>
      </x:c>
      <x:c r="D11" s="40" t="str"/>
      <x:c r="E11" s="40" t="str"/>
      <x:c r="F11" s="40" t="str"/>
      <x:c r="G11" s="40" t="str">
        <x:v>Base de usuários.</x:v>
      </x:c>
    </x:row>
    <x:row r="12">
      <x:c r="A12" s="84" t="str">
        <x:v>Dados estruturados aproximados após 1 ano</x:v>
      </x:c>
      <x:c r="B12" s="85" t="n">
        <x:f>B10+B11</x:f>
        <x:v>2.1302223205566406</x:v>
      </x:c>
      <x:c r="C12" s="84" t="str">
        <x:v>GiB</x:v>
      </x:c>
      <x:c r="D12" s="84" t="str"/>
      <x:c r="E12" s="84" t="str"/>
      <x:c r="F12" s="84" t="str"/>
      <x:c r="G12" s="84" t="str">
        <x:v>Usuários + crescimento operacional bruto.</x:v>
      </x:c>
    </x:row>
    <x:row r="13">
      <x:c r="A13" s="40" t="str">
        <x:v>Storage inicial proposto</x:v>
      </x:c>
      <x:c r="B13" s="130" t="n">
        <x:f>Premissas!B13</x:f>
        <x:v>50</x:v>
      </x:c>
      <x:c r="C13" s="40" t="str">
        <x:v>GiB</x:v>
      </x:c>
      <x:c r="D13" s="40" t="str"/>
      <x:c r="E13" s="40" t="str"/>
      <x:c r="F13" s="40" t="str"/>
      <x:c r="G13" s="40" t="str">
        <x:v>Premissa de arquitetura.</x:v>
      </x:c>
    </x:row>
    <x:row r="14">
      <x:c r="A14" s="40"/>
      <x:c r="B14" s="40"/>
      <x:c r="C14" s="40"/>
      <x:c r="D14" s="40"/>
      <x:c r="E14" s="40"/>
      <x:c r="F14" s="40"/>
      <x:c r="G14" s="40"/>
    </x:row>
    <x:row r="15">
      <x:c r="A15" s="36" t="str">
        <x:v>Service e Category não foram incluídos no cálculo numérico de storage por não haver quantidade definida; seu volume esperado é pequeno frente a User, Solicitação e Histórico. Índices e overhead do PostgreSQL também ficam fora do cálculo bruto e são cobertos pela margem do storage inicial.</x:v>
      </x:c>
      <x:c r="B15" s="36"/>
      <x:c r="C15" s="36"/>
      <x:c r="D15" s="36"/>
      <x:c r="E15" s="36"/>
      <x:c r="F15" s="36"/>
      <x:c r="G15" s="36"/>
    </x:row>
    <x:row r="16">
      <x:c r="A16" s="36"/>
      <x:c r="B16" s="36"/>
      <x:c r="C16" s="36"/>
      <x:c r="D16" s="36"/>
      <x:c r="E16" s="36"/>
      <x:c r="F16" s="36"/>
      <x:c r="G16" s="36"/>
    </x:row>
  </x:sheetData>
  <x:mergeCells>
    <x:mergeCell ref="A1:G1"/>
    <x:mergeCell ref="A15:G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0" hidden="0" customWidth="1"/>
    <x:col min="4" max="4" width="28" hidden="0" customWidth="1"/>
    <x:col min="5" max="5" width="16" hidden="0" customWidth="1"/>
    <x:col min="6" max="6" width="60" hidden="0" customWidth="1"/>
  </x:cols>
  <x:sheetData>
    <x:row r="1" ht="28" customHeight="1">
      <x:c r="A1" s="5" t="str">
        <x:v>Memória de Cálculo — Dimensionamento RDS</x:v>
      </x:c>
      <x:c r="B1" s="5"/>
      <x:c r="C1" s="5"/>
      <x:c r="D1" s="5"/>
      <x:c r="E1" s="5"/>
      <x:c r="F1" s="5"/>
    </x:row>
    <x:row r="3">
      <x:c r="A3" s="14" t="str">
        <x:v>Indicador</x:v>
      </x:c>
      <x:c r="B3" s="14" t="str">
        <x:v>Valor</x:v>
      </x:c>
      <x:c r="C3" s="14" t="str">
        <x:v>Unidade</x:v>
      </x:c>
      <x:c r="D3" s="14" t="str">
        <x:v>Derivação</x:v>
      </x:c>
      <x:c r="E3" s="14" t="str">
        <x:v>Status</x:v>
      </x:c>
      <x:c r="F3" s="14" t="str">
        <x:v>Justificativa</x:v>
      </x:c>
    </x:row>
    <x:row r="4">
      <x:c r="A4" s="40" t="str">
        <x:v>Usuários de projeto</x:v>
      </x:c>
      <x:c r="B4" s="76" t="n">
        <x:f>Premissas!B4</x:f>
        <x:v>1000000</x:v>
      </x:c>
      <x:c r="C4" s="40" t="str">
        <x:v>usuários</x:v>
      </x:c>
      <x:c r="D4" s="40" t="str">
        <x:v>Premissas!B4</x:v>
      </x:c>
      <x:c r="E4" s="40" t="str">
        <x:v>Definido</x:v>
      </x:c>
      <x:c r="F4" s="40" t="str">
        <x:v>Escala máxima de usuários cadastrados considerada no projeto.</x:v>
      </x:c>
    </x:row>
    <x:row r="5">
      <x:c r="A5" s="40" t="str">
        <x:v>Acessos diários ao Portal</x:v>
      </x:c>
      <x:c r="B5" s="76" t="n">
        <x:f>Premissas!B5</x:f>
        <x:v>52000</x:v>
      </x:c>
      <x:c r="C5" s="40" t="str">
        <x:v>acessos/dia</x:v>
      </x:c>
      <x:c r="D5" s="40" t="str">
        <x:v>Premissas!B5</x:v>
      </x:c>
      <x:c r="E5" s="40" t="str">
        <x:v>Definido</x:v>
      </x:c>
      <x:c r="F5" s="40" t="str">
        <x:v>Carga diária de referência adotada pelo grupo.</x:v>
      </x:c>
    </x:row>
    <x:row r="6">
      <x:c r="A6" s="40" t="str">
        <x:v>Acessos médios</x:v>
      </x:c>
      <x:c r="B6" s="75" t="n">
        <x:f>Workload!C5</x:f>
        <x:v>0.6018518518518519</x:v>
      </x:c>
      <x:c r="C6" s="40" t="str">
        <x:v>acessos/s</x:v>
      </x:c>
      <x:c r="D6" s="40" t="str">
        <x:v>Workload!C5</x:v>
      </x:c>
      <x:c r="E6" s="40" t="str">
        <x:v>Calculado</x:v>
      </x:c>
      <x:c r="F6" s="40" t="str">
        <x:v>Conversão de carga diária para carga média por segundo.</x:v>
      </x:c>
    </x:row>
    <x:row r="7">
      <x:c r="A7" s="40" t="str">
        <x:v>Acessos à Zeladoria</x:v>
      </x:c>
      <x:c r="B7" s="75" t="n">
        <x:f>Workload!C6</x:f>
        <x:v>10400</x:v>
      </x:c>
      <x:c r="C7" s="40" t="str">
        <x:v>acessos/dia</x:v>
      </x:c>
      <x:c r="D7" s="40" t="str">
        <x:v>Workload!C6</x:v>
      </x:c>
      <x:c r="E7" s="40" t="str">
        <x:v>Calculado</x:v>
      </x:c>
      <x:c r="F7" s="40" t="str">
        <x:v>20% da carga do Portal.</x:v>
      </x:c>
    </x:row>
    <x:row r="8">
      <x:c r="A8" s="40" t="str">
        <x:v>Leituras totais diárias</x:v>
      </x:c>
      <x:c r="B8" s="75" t="n">
        <x:f>Workload!C9</x:f>
        <x:v>83200</x:v>
      </x:c>
      <x:c r="C8" s="40" t="str">
        <x:v>consultas/dia</x:v>
      </x:c>
      <x:c r="D8" s="40" t="str">
        <x:v>Workload!C9</x:v>
      </x:c>
      <x:c r="E8" s="40" t="str">
        <x:v>Calculado</x:v>
      </x:c>
      <x:c r="F8" s="40" t="str">
        <x:v>Carga comum do Portal + carga específica da Zeladoria.</x:v>
      </x:c>
    </x:row>
    <x:row r="9">
      <x:c r="A9" s="40" t="str">
        <x:v>Leitura média</x:v>
      </x:c>
      <x:c r="B9" s="75" t="n">
        <x:f>Workload!C10</x:f>
        <x:v>0.9629629629629629</x:v>
      </x:c>
      <x:c r="C9" s="40" t="str">
        <x:v>consultas/s</x:v>
      </x:c>
      <x:c r="D9" s="40" t="str">
        <x:v>Workload!C10</x:v>
      </x:c>
      <x:c r="E9" s="40" t="str">
        <x:v>Calculado</x:v>
      </x:c>
      <x:c r="F9" s="40" t="str">
        <x:v>Workload lógico médio.</x:v>
      </x:c>
    </x:row>
    <x:row r="10">
      <x:c r="A10" s="40" t="str">
        <x:v>TPS de pico de leitura</x:v>
      </x:c>
      <x:c r="B10" s="75" t="n">
        <x:f>Workload!C11</x:f>
        <x:v>9.62962962962963</x:v>
      </x:c>
      <x:c r="C10" s="40" t="str">
        <x:v>TPS</x:v>
      </x:c>
      <x:c r="D10" s="40" t="str">
        <x:v>Workload!C11</x:v>
      </x:c>
      <x:c r="E10" s="40" t="str">
        <x:v>Calculado</x:v>
      </x:c>
      <x:c r="F10" s="40" t="str">
        <x:v>Carga média × fator de pico de 10×.</x:v>
      </x:c>
    </x:row>
    <x:row r="11">
      <x:c r="A11" s="40" t="str">
        <x:v>Solicitações novas</x:v>
      </x:c>
      <x:c r="B11" s="75" t="n">
        <x:f>Workload!C12</x:f>
        <x:v>520</x:v>
      </x:c>
      <x:c r="C11" s="40" t="str">
        <x:v>solicitações/dia</x:v>
      </x:c>
      <x:c r="D11" s="40" t="str">
        <x:v>Workload!C12</x:v>
      </x:c>
      <x:c r="E11" s="40" t="str">
        <x:v>Calculado</x:v>
      </x:c>
      <x:c r="F11" s="40" t="str">
        <x:v>5% dos acessos à Zeladoria.</x:v>
      </x:c>
    </x:row>
    <x:row r="12">
      <x:c r="A12" s="40" t="str">
        <x:v>Escrita de pico</x:v>
      </x:c>
      <x:c r="B12" s="75" t="n">
        <x:f>Workload!C14</x:f>
        <x:v>0.06018518518518519</x:v>
      </x:c>
      <x:c r="C12" s="40" t="str">
        <x:v>escritas/s</x:v>
      </x:c>
      <x:c r="D12" s="40" t="str">
        <x:v>Workload!C14</x:v>
      </x:c>
      <x:c r="E12" s="40" t="str">
        <x:v>Calculado</x:v>
      </x:c>
      <x:c r="F12" s="40" t="str">
        <x:v>Carga média de escrita × fator de pico.</x:v>
      </x:c>
    </x:row>
    <x:row r="13">
      <x:c r="A13" s="40" t="str">
        <x:v>Histórico anual</x:v>
      </x:c>
      <x:c r="B13" s="144" t="n">
        <x:f>Workload!C17</x:f>
        <x:v>759200</x:v>
      </x:c>
      <x:c r="C13" s="40" t="str">
        <x:v>registros/ano</x:v>
      </x:c>
      <x:c r="D13" s="40" t="str">
        <x:v>Workload!C17</x:v>
      </x:c>
      <x:c r="E13" s="40" t="str">
        <x:v>Calculado</x:v>
      </x:c>
      <x:c r="F13" s="40" t="str">
        <x:v>4 registros históricos por solicitação.</x:v>
      </x:c>
    </x:row>
    <x:row r="14">
      <x:c r="A14" s="84" t="str">
        <x:v>IOPS estimados</x:v>
      </x:c>
      <x:c r="B14" s="145" t="n">
        <x:f>B10*10</x:f>
        <x:v>96.2962962962963</x:v>
      </x:c>
      <x:c r="C14" s="84" t="str">
        <x:v>IOPS</x:v>
      </x:c>
      <x:c r="D14" s="84" t="str">
        <x:v>TPS de pico × 10</x:v>
      </x:c>
      <x:c r="E14" s="84" t="str">
        <x:v>Calculado</x:v>
      </x:c>
      <x:c r="F14" s="84" t="str">
        <x:v>Mesma lógica de fator de I/O do modelo de referência.</x:v>
      </x:c>
    </x:row>
    <x:row r="15">
      <x:c r="A15" s="40" t="str">
        <x:v>Max connections</x:v>
      </x:c>
      <x:c r="B15" s="144" t="n">
        <x:f>Premissas!B12</x:f>
        <x:v>100</x:v>
      </x:c>
      <x:c r="C15" s="40" t="str">
        <x:v>conexões</x:v>
      </x:c>
      <x:c r="D15" s="40" t="str">
        <x:v>Premissas!B12</x:v>
      </x:c>
      <x:c r="E15" s="40" t="str">
        <x:v>Definido</x:v>
      </x:c>
      <x:c r="F15" s="40" t="str">
        <x:v>Limite operacional global inicial.</x:v>
      </x:c>
    </x:row>
    <x:row r="16">
      <x:c r="A16" s="84" t="str">
        <x:v>Storage inicial</x:v>
      </x:c>
      <x:c r="B16" s="145" t="n">
        <x:f>Premissas!B13</x:f>
        <x:v>50</x:v>
      </x:c>
      <x:c r="C16" s="84" t="str">
        <x:v>GiB</x:v>
      </x:c>
      <x:c r="D16" s="84" t="str">
        <x:v>Premissas!B13</x:v>
      </x:c>
      <x:c r="E16" s="84" t="str">
        <x:v>Definido</x:v>
      </x:c>
      <x:c r="F16" s="84" t="str">
        <x:v>Margem para dados, índices, overhead e expansão.</x:v>
      </x:c>
    </x:row>
    <x:row r="17">
      <x:c r="A17" s="82" t="str">
        <x:v>Storage máximo</x:v>
      </x:c>
      <x:c r="B17" s="146" t="n">
        <x:f>Premissas!B14</x:f>
        <x:v>200</x:v>
      </x:c>
      <x:c r="C17" s="82" t="str">
        <x:v>GiB</x:v>
      </x:c>
      <x:c r="D17" s="82" t="str">
        <x:v>Premissas!B14</x:v>
      </x:c>
      <x:c r="E17" s="82" t="str">
        <x:v>Definido</x:v>
      </x:c>
      <x:c r="F17" s="82" t="str">
        <x:v>Limite de Auto Scaling.</x:v>
      </x:c>
    </x:row>
    <x:row r="18">
      <x:c r="A18" s="40" t="str">
        <x:v>RPO</x:v>
      </x:c>
      <x:c r="B18" s="75" t="n">
        <x:v>15</x:v>
      </x:c>
      <x:c r="C18" s="40" t="str">
        <x:v>min</x:v>
      </x:c>
      <x:c r="D18" s="40" t="str">
        <x:v>Requisito do projeto</x:v>
      </x:c>
      <x:c r="E18" s="40" t="str">
        <x:v>Definido</x:v>
      </x:c>
      <x:c r="F18" s="40" t="str">
        <x:v>Recuperação para ponto de até 15 minutos.</x:v>
      </x:c>
    </x:row>
    <x:row r="19">
      <x:c r="A19" s="40" t="str">
        <x:v>RTO</x:v>
      </x:c>
      <x:c r="B19" s="75" t="n">
        <x:v>1</x:v>
      </x:c>
      <x:c r="C19" s="40" t="str">
        <x:v>h</x:v>
      </x:c>
      <x:c r="D19" s="40" t="str">
        <x:v>Requisito do projeto</x:v>
      </x:c>
      <x:c r="E19" s="40" t="str">
        <x:v>Definido</x:v>
      </x:c>
      <x:c r="F19" s="40" t="str">
        <x:v>Recuperação em até 1 hora.</x:v>
      </x:c>
    </x:row>
    <x:row r="21">
      <x:c r="A21" s="36" t="str">
        <x:v>Escolha técnica inicial: Amazon RDS for PostgreSQL, classe db.t4g.medium, 2 vCPU, 4 GiB RAM, 50 GiB gp3, Multi-AZ, max_connections=100, Backup + PITR, sem Read Replica inicialmente. A classe é um ponto inicial de projeto e deve ser validada por teste de carga.</x:v>
      </x:c>
      <x:c r="B21" s="36"/>
      <x:c r="C21" s="36"/>
      <x:c r="D21" s="36"/>
      <x:c r="E21" s="36"/>
      <x:c r="F21" s="36"/>
    </x:row>
    <x:row r="22">
      <x:c r="A22" s="36"/>
      <x:c r="B22" s="36"/>
      <x:c r="C22" s="36"/>
      <x:c r="D22" s="36"/>
      <x:c r="E22" s="36"/>
      <x:c r="F22" s="36"/>
    </x:row>
    <x:row r="23">
      <x:c r="A23" s="36"/>
      <x:c r="B23" s="36"/>
      <x:c r="C23" s="36"/>
      <x:c r="D23" s="36"/>
      <x:c r="E23" s="36"/>
      <x:c r="F23" s="36"/>
    </x:row>
  </x:sheetData>
  <x:mergeCells>
    <x:mergeCell ref="A1:F1"/>
    <x:mergeCell ref="A21:F2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5" hidden="0" customWidth="1"/>
    <x:col min="3" max="3" width="36" hidden="0" customWidth="1"/>
    <x:col min="4" max="4" width="65" hidden="0" customWidth="1"/>
  </x:cols>
  <x:sheetData>
    <x:row r="1" ht="28" customHeight="1">
      <x:c r="A1" s="5" t="str">
        <x:v>Fontes e Referências</x:v>
      </x:c>
      <x:c r="B1" s="5"/>
      <x:c r="C1" s="5"/>
      <x:c r="D1" s="5"/>
    </x:row>
    <x:row r="3">
      <x:c r="A3" s="14" t="str">
        <x:v>Referência</x:v>
      </x:c>
      <x:c r="B3" s="14" t="str">
        <x:v>URL / Origem</x:v>
      </x:c>
      <x:c r="C3" s="14" t="str">
        <x:v>Uso no cálculo</x:v>
      </x:c>
      <x:c r="D3" s="14" t="str">
        <x:v>Observação</x:v>
      </x:c>
    </x:row>
    <x:row r="4">
      <x:c r="A4" s="40" t="str">
        <x:v>Prefeitura do Rio — Carioca Digital (2020)</x:v>
      </x:c>
      <x:c r="B4" s="40" t="str">
        <x:v>https://prefeitura.rio/iplanrio/portal-carioca-digital-atinge-a-marca-de-um-milhao-de-usuarios-cadastrados/</x:v>
      </x:c>
      <x:c r="C4" s="40" t="str">
        <x:v>1.000.000 usuários</x:v>
      </x:c>
      <x:c r="D4" s="40" t="str">
        <x:v>Dado usado como capacidade de projeto.</x:v>
      </x:c>
    </x:row>
    <x:row r="5">
      <x:c r="A5" s="40" t="str">
        <x:v>IplanRio — Principais entregas 2024</x:v>
      </x:c>
      <x:c r="B5" s="40" t="str">
        <x:v>https://iplanrio.prefeitura.rio/wp-content/uploads/sites/43/2024/12/Principais-Entregas-IplanRio-2024.pdf</x:v>
      </x:c>
      <x:c r="C5" s="40" t="str">
        <x:v>19 milhões de sessões/ano</x:v>
      </x:c>
      <x:c r="D5" s="40" t="str">
        <x:v>O relatório também informa ~70 mil sessões/dia; o projeto adota 52 mil/dia como cenário derivado pelo grupo de 19M/365.</x:v>
      </x:c>
    </x:row>
    <x:row r="6">
      <x:c r="A6" s="40" t="str">
        <x:v>Documentos do Projeto — Portal Cidadão Seguro</x:v>
      </x:c>
      <x:c r="B6" s="40" t="str">
        <x:v>Documento de Visão / Requisitos Suplementares / Casos de Uso / Modelo de Análise</x:v>
      </x:c>
      <x:c r="C6" s="40" t="str">
        <x:v>RPO, RTO, RDS, S3, segurança e arquitetura</x:v>
      </x:c>
      <x:c r="D6" s="40" t="str">
        <x:v>Fonte interna do projeto.</x:v>
      </x:c>
    </x:row>
    <x:row r="7">
      <x:c r="A7" s="40" t="str">
        <x:v>Modelo de referência — Dimensionamento_RDS.pdf</x:v>
      </x:c>
      <x:c r="B7" s="40" t="str">
        <x:v>Arquivo fornecido pelo grupo</x:v>
      </x:c>
      <x:c r="C7" s="40" t="str">
        <x:v>Estrutura da memória de cálculo e critérios da disciplina</x:v>
      </x:c>
      <x:c r="D7" s="40" t="str">
        <x:v>A fórmula de IOPS segue a lógica de fator de I/O do modelo.</x:v>
      </x:c>
    </x:row>
  </x:sheetData>
  <x:mergeCells>
    <x:mergeCell ref="A1:D1"/>
  </x:mergeCells>
  <x:pageMargins left="0.7" right="0.7" top="0.75" bottom="0.75" header="0.3" footer="0.3"/>
</x:worksheet>
</file>